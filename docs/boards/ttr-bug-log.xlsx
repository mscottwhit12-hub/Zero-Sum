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Log" sheetId="1" state="visible" r:id="rId3"/>
    <sheet name="Summary" sheetId="2" state="visible" r:id="rId4"/>
  </sheets>
  <definedNames>
    <definedName function="false" hidden="true" localSheetId="0" name="_xlnm._FilterDatabase" vbProcedure="false">'Bug Log'!$A$1:$L$200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<sst xmlns="http://schemas.openxmlformats.org/spreadsheetml/2006/main" count="275" uniqueCount="160">
  <si>
    <t xml:space="preserve">ID</t>
  </si>
  <si>
    <t xml:space="preserve">Applies to</t>
  </si>
  <si>
    <t xml:space="preserve">Severity</t>
  </si>
  <si>
    <t xml:space="preserve">Type</t>
  </si>
  <si>
    <t xml:space="preserve">Area</t>
  </si>
  <si>
    <t xml:space="preserve">Title</t>
  </si>
  <si>
    <t xml:space="preserve">What happens</t>
  </si>
  <si>
    <t xml:space="preserve">How found / evidence</t>
  </si>
  <si>
    <t xml:space="preserve">Date found</t>
  </si>
  <si>
    <t xml:space="preserve">Status</t>
  </si>
  <si>
    <t xml:space="preserve">Fixed in</t>
  </si>
  <si>
    <t xml:space="preserve">Notes</t>
  </si>
  <si>
    <t xml:space="preserve">BUG-001</t>
  </si>
  <si>
    <t xml:space="preserve">USA + Europe</t>
  </si>
  <si>
    <t xml:space="preserve">Medium</t>
  </si>
  <si>
    <t xml:space="preserve">Bug</t>
  </si>
  <si>
    <t xml:space="preserve">Number boxes</t>
  </si>
  <si>
    <t xml:space="preserve">Typed number box can show a value the board did not keep</t>
  </si>
  <si>
    <t xml:space="preserve">Type 99 into "Trains left" when trains are already at 45. The board clamps to 45 but the box keeps showing 99. Same for Stations (Europe), Tickets, and a typed decimal that rounds to the current value. The final-score box and the +/- buttons are fine.</t>
  </si>
  <si>
    <t xml:space="preserve">Read of Board.svelte (commitNumber): when the clamped value equals the current one, the state object is unchanged, so the box is never reset.</t>
  </si>
  <si>
    <t xml:space="preserve">2026-10-28</t>
  </si>
  <si>
    <t xml:space="preserve">Fixed</t>
  </si>
  <si>
    <t xml:space="preserve">Fix round 1, 2026-10-28</t>
  </si>
  <si>
    <t xml:space="preserve">Typed number boxes now show the value that was actually kept (clamped or rounded). Logic tests pass; the box itself is untested because Svelte is not compiled here. Recheck in the live app.</t>
  </si>
  <si>
    <t xml:space="preserve">BUG-002</t>
  </si>
  <si>
    <t xml:space="preserve">High</t>
  </si>
  <si>
    <t xml:space="preserve">Game over button</t>
  </si>
  <si>
    <t xml:space="preserve">Game over has no confirmation and works with no scores</t>
  </si>
  <si>
    <t xml:space="preserve">If nobody has a final score, the result screen is pre-filled with everyone tied for 1st. One accidental tap on the large primary button can submit a bogus result. It is also available mid-game and before the final round is finished.</t>
  </si>
  <si>
    <t xml:space="preserve">Probe: placements() on a fresh game returns one group of all players. Board.svelte: button only disabled if onfinish is missing.</t>
  </si>
  <si>
    <t xml:space="preserve">Game over now asks first, listing warnings: no scores entered, players without a score, final round not started or not finished. finishWarnings() has tests. Recheck the confirm panel in the live app.</t>
  </si>
  <si>
    <t xml:space="preserve">BUG-003</t>
  </si>
  <si>
    <t xml:space="preserve">Low</t>
  </si>
  <si>
    <t xml:space="preserve">Game clock</t>
  </si>
  <si>
    <t xml:space="preserve">Game clock never stops</t>
  </si>
  <si>
    <t xml:space="preserve">"Playing for..." keeps counting after the last score is entered and eventually turns red as "over" even though the game has ended.</t>
  </si>
  <si>
    <t xml:space="preserve">Probe: clock() has no finished flag; Board.svelte keeps ticking every 15 s.</t>
  </si>
  <si>
    <t xml:space="preserve">The clock freezes when the last final score goes in ("Finished after ... early/over") and restarts if a score is cleared. syncEnded()/clock() have tests. Recheck in the live app.</t>
  </si>
  <si>
    <t xml:space="preserve">BUG-004</t>
  </si>
  <si>
    <t xml:space="preserve">Planned game length is set in two places</t>
  </si>
  <si>
    <t xml:space="preserve">The pack's defaultDuration (1 hour) and the board setting "Planned game length in minutes" (60) do not talk to each other. Changing one does not change the other, so the planned end time can disagree with the library game.</t>
  </si>
  <si>
    <t xml:space="preserve">Compared classics entries with SETTINGS.plannedMinutes.</t>
  </si>
  <si>
    <t xml:space="preserve">In progress</t>
  </si>
  <si>
    <t xml:space="preserve">Only the board side could be done: the setting is relabelled as a fallback that should equal the library game length. Fully fixed only if the host passes endsAt (or the pack and board share one value). Needs your call. Round 3: cannot be closed inside the packs. Blocked on the host passing endsAt, or you choosing to keep the two numbers equal by hand.</t>
  </si>
  <si>
    <t xml:space="preserve">BUG-005</t>
  </si>
  <si>
    <t xml:space="preserve">Final score</t>
  </si>
  <si>
    <t xml:space="preserve">Final score -1 / -10 works from a blank box</t>
  </si>
  <si>
    <t xml:space="preserve">Tapping -1 or -10 on a player with no score immediately enters -1 or -10, which looks like a score the GM typed.</t>
  </si>
  <si>
    <t xml:space="preserve">Read of Board.svelte (bumpScore): treats a blank score as 0 before adding.</t>
  </si>
  <si>
    <t xml:space="preserve">The -1 and -10 buttons are disabled on a blank score, and bumpFinalScore() ignores downward steps from blank. +1 and +10 still start from 0. Has tests.</t>
  </si>
  <si>
    <t xml:space="preserve">BUG-006</t>
  </si>
  <si>
    <t xml:space="preserve">Europe only</t>
  </si>
  <si>
    <t xml:space="preserve">Wording</t>
  </si>
  <si>
    <t xml:space="preserve">Wrong bonus name shown on the Europe board</t>
  </si>
  <si>
    <t xml:space="preserve">The note above the scores table says "Longest Route bonus". Europe calls it the European Express.</t>
  </si>
  <si>
    <t xml:space="preserve">grep of ticket-to-ride-europe/Board.svelte.</t>
  </si>
  <si>
    <t xml:space="preserve">Fix round 2, 2026-10-28</t>
  </si>
  <si>
    <t xml:space="preserve">The Europe note now says "European Express bonus". Text only; recheck on screen.</t>
  </si>
  <si>
    <t xml:space="preserve">BUG-007</t>
  </si>
  <si>
    <t xml:space="preserve">Recap</t>
  </si>
  <si>
    <t xml:space="preserve">Recap message has a double colon</t>
  </si>
  <si>
    <t xml:space="preserve">Reads "Ticket to Ride: Europe: you finished 1st..." (and "...: no final score was entered...").</t>
  </si>
  <si>
    <t xml:space="preserve">Probe output of recap().</t>
  </si>
  <si>
    <t xml:space="preserve">Recap now opens "Ticket to Ride Europe: ..." (no double colon) in both recap lines. Has a test.</t>
  </si>
  <si>
    <t xml:space="preserve">BUG-008</t>
  </si>
  <si>
    <t xml:space="preserve">Risk</t>
  </si>
  <si>
    <t xml:space="preserve">Opening the tab saves state, which could overwrite another device</t>
  </si>
  <si>
    <t xml:space="preserve">The board saves its start time the first time the tab opens. If two GM devices open it at once, the second could save an older copy of the state over the first one's edits. Depends on how the host handles simultaneous saves.</t>
  </si>
  <si>
    <t xml:space="preserve">Read of Board.svelte ($effect calling onchange on mount). Not reproduced; needs host testing.</t>
  </si>
  <si>
    <t xml:space="preserve">Opening the tab no longer saves anything. The open time is kept in memory and stamped into the first real change (and the finish time into the change that completes the scores). A device that only looks cannot overwrite edits. Caveat: if the tab is reloaded before any edit, the start time resets to that reload. Recheck in the live app.</t>
  </si>
  <si>
    <t xml:space="preserve">BUG-009</t>
  </si>
  <si>
    <t xml:space="preserve">Final round</t>
  </si>
  <si>
    <t xml:space="preserve">Final-round banner is on from the start with some settings</t>
  </si>
  <si>
    <t xml:space="preserve">If starting trains is set to the final-round trigger or lower (for example trains 2, trigger 2), the banner shows from the first moment.</t>
  </si>
  <si>
    <t xml:space="preserve">Probe: status().finalActive with trainsStart=2.</t>
  </si>
  <si>
    <t xml:space="preserve">Players who have not used a train never count toward the final round, so overlapping settings no longer start it at turn one (also applies to the "trains left" badge). Has tests.</t>
  </si>
  <si>
    <t xml:space="preserve">BUG-010</t>
  </si>
  <si>
    <t xml:space="preserve">Host planned end earlier than start shows "over" immediately</t>
  </si>
  <si>
    <t xml:space="preserve">If the host ever supplies an end time before the start time, the clock reads as over from the first second.</t>
  </si>
  <si>
    <t xml:space="preserve">Probe: clock() with startedAt=1000, endsAt=500.</t>
  </si>
  <si>
    <t xml:space="preserve">A host planned end at or before the start is ignored and the planned-length setting is used instead. Has tests.</t>
  </si>
  <si>
    <t xml:space="preserve">BUG-011</t>
  </si>
  <si>
    <t xml:space="preserve">Empty player name gives "Winner:  with 5 points."</t>
  </si>
  <si>
    <t xml:space="preserve">A player with an empty name leaves a blank in other players' recap messages.</t>
  </si>
  <si>
    <t xml:space="preserve">Probe output of recap() with a blank name.</t>
  </si>
  <si>
    <t xml:space="preserve">Fix round 3, 2026-10-28</t>
  </si>
  <si>
    <t xml:space="preserve">A blank or spaces-only name now reads "Player" in recaps, warnings and the board. Has tests.</t>
  </si>
  <si>
    <t xml:space="preserve">BUG-012</t>
  </si>
  <si>
    <t xml:space="preserve">Unverified</t>
  </si>
  <si>
    <t xml:space="preserve">Crown</t>
  </si>
  <si>
    <t xml:space="preserve">Unknown how the crown treats everyone reading 0 until scores are in</t>
  </si>
  <si>
    <t xml:space="preserve">score() returns 0 for every player until every player has a final score. The host might crown nobody, everybody or the first player.</t>
  </si>
  <si>
    <t xml:space="preserve">Cannot test outside the real app. Test with a live game before game night.</t>
  </si>
  <si>
    <t xml:space="preserve">Needs testing</t>
  </si>
  <si>
    <t xml:space="preserve">Round 3: the contract does not say how the crown treats ties or all-zero scores, so nothing in the pack can fix or confirm this. Test in a live game; if everyone is crowned, the host should treat an all-equal crown as no leader.</t>
  </si>
  <si>
    <t xml:space="preserve">BUG-013</t>
  </si>
  <si>
    <t xml:space="preserve">Board.svelte</t>
  </si>
  <si>
    <t xml:space="preserve">Svelte files not compiled or rendered</t>
  </si>
  <si>
    <t xml:space="preserve">Layout on a 360 px phone, the final-score row fit, the wide two-column view and type checks in the template are untested. Logic tests cover def.ts only (USA 41, Europe 47 passing).</t>
  </si>
  <si>
    <t xml:space="preserve">No Svelte compiler or browser in the test environment.</t>
  </si>
  <si>
    <t xml:space="preserve">Round 3: static check of both files found balanced blocks, no undefined names and no unused declarations. Mirror renders cover 14 scenes at 320, 360 and 1280 px. Still not compiled with Svelte; confirm in the live app.</t>
  </si>
  <si>
    <t xml:space="preserve">BUG-014</t>
  </si>
  <si>
    <t xml:space="preserve">Visual</t>
  </si>
  <si>
    <t xml:space="preserve">Final-round banner stays up after every score is entered</t>
  </si>
  <si>
    <t xml:space="preserve">Once all final scores are in, the banner still says "Still to play: [every player]" and "gets one more turn". It never clears, so it contradicts the "Final result" table underneath.</t>
  </si>
  <si>
    <t xml:space="preserve">screenshots/usa-scored-long.png, eu-wide.png. Cause: banner depends only on trains, not on scores being in. Seen in a mirror render (real Board.svelte CSS + real def.ts, not the compiled app); confirm in the live app.</t>
  </si>
  <si>
    <t xml:space="preserve">The final-round banner is hidden once every final score is in. Checked in the mirror render (real CSS and logic, not the compiled app); recheck in the live app.</t>
  </si>
  <si>
    <t xml:space="preserve">BUG-015</t>
  </si>
  <si>
    <t xml:space="preserve">Final result table</t>
  </si>
  <si>
    <t xml:space="preserve">Tie-break columns are cut off on phones</t>
  </si>
  <si>
    <t xml:space="preserve">At 360 px with longer names the table scrolls sideways and hides the last columns: Tickets (USA), Stations and Tickets (Europe). Those are the columns that explain a "2nd=" tie. At 320 px even Trains is cut. Nothing hints that it scrolls.</t>
  </si>
  <si>
    <t xml:space="preserve">screenshots/usa-scored-long.png, eu-scored-long.png, eu-w320.png. Seen in a mirror render (real Board.svelte CSS + real def.ts, not the compiled app); confirm in the live app.</t>
  </si>
  <si>
    <t xml:space="preserve">The result table is now Place, Player, Score. Trains, Stations and Tickets sit under each name, so nothing hides behind a sideways scroll at 320 or 360 px. Checked in the mirror render (real CSS and logic, not the compiled app); recheck in the live app.</t>
  </si>
  <si>
    <t xml:space="preserve">BUG-016</t>
  </si>
  <si>
    <t xml:space="preserve">Tap targets</t>
  </si>
  <si>
    <t xml:space="preserve">Several controls are smaller than the board's own big-tap-target goal</t>
  </si>
  <si>
    <t xml:space="preserve">Seat buttons are 40 px. Player-name links in the table are 19 to 31 px wide by 40 px tall ("Cy" is 19 px). The "Last turn still to play" chip is 42 px tall even though it is marked big (the chip rule overrides it).</t>
  </si>
  <si>
    <t xml:space="preserve">Measured in the mirror at 360 px (usa-final, eu-final). Seen in a mirror render (real Board.svelte CSS + real def.ts, not the compiled app); confirm in the live app.</t>
  </si>
  <si>
    <t xml:space="preserve">Seats are at least 44 px, name links at least 44 px, the "Last turn" chip 48 px, other chips 44 px, stepper buttons 45 px. Mirror measured 0 controls under 44 px in all 14 scenes. Checked in the mirror render (real CSS and logic, not the compiled app); recheck in the live app.</t>
  </si>
  <si>
    <t xml:space="preserve">BUG-017</t>
  </si>
  <si>
    <t xml:space="preserve">Phone layout</t>
  </si>
  <si>
    <t xml:space="preserve">Tapping a seat on a phone does not bring that player's panel into view</t>
  </si>
  <si>
    <t xml:space="preserve">On narrow screens the selected player's panel sits below the table, often off-screen. Tapping a seat only moves a ring; the page does not scroll. Only the wide layout scrolls to the panel.</t>
  </si>
  <si>
    <t xml:space="preserve">Read of Board.svelte (pick() scrolls only when wide); layout seen in eu-final.png. Seen in a mirror render (real Board.svelte CSS + real def.ts, not the compiled app); confirm in the live app.</t>
  </si>
  <si>
    <t xml:space="preserve">Tapping a seat, a "not at the table" chip or a name in the table now scrolls that player's panel into view on phones as well. Checked in the mirror render (real CSS and logic, not the compiled app); recheck in the live app.</t>
  </si>
  <si>
    <t xml:space="preserve">BUG-018</t>
  </si>
  <si>
    <t xml:space="preserve">Header text</t>
  </si>
  <si>
    <t xml:space="preserve">Clock line and Game over button wrap awkwardly on phones</t>
  </si>
  <si>
    <t xml:space="preserve">"12 min over" splits across two lines ("12 / min over", "1h / 10m over"). The Game over button label wraps to two lines.</t>
  </si>
  <si>
    <t xml:space="preserve">screenshots/eu-final.png, usa-scored-long.png. Seen in a mirror render (real Board.svelte CSS + real def.ts, not the compiled app); confirm in the live app.</t>
  </si>
  <si>
    <t xml:space="preserve">The clock line wraps between its parts, not inside them, and the button reads "Game over: open results" (one line). Checked in the mirror render (real CSS and logic, not the compiled app); recheck in the live app.</t>
  </si>
  <si>
    <t xml:space="preserve">BUG-019</t>
  </si>
  <si>
    <t xml:space="preserve">Table drawing</t>
  </si>
  <si>
    <t xml:space="preserve">Long names are cut off on seats, and labels crowd each other at 320 px</t>
  </si>
  <si>
    <t xml:space="preserve">First names over about 9 letters show as "Maximili…" and "Christop…". A long table name shows as "The big family dinin…". At 320 px neighbouring seat labels nearly touch, and the selected ring touches its label.</t>
  </si>
  <si>
    <t xml:space="preserve">screenshots/usa-scored-long.png, eu-w320.png. Seen in a mirror render (real Board.svelte CSS + real def.ts, not the compiled app); confirm in the live app.</t>
  </si>
  <si>
    <t xml:space="preserve">Seat labels get the widest room that avoids neighbours (1.5 to 2.2 seat widths); the table name wraps to two lines; label spacing increased. No label overlaps at 320 px in the mirror. Checked in the mirror render (real CSS and logic, not the compiled app); recheck in the live app.</t>
  </si>
  <si>
    <t xml:space="preserve">BUG-020</t>
  </si>
  <si>
    <t xml:space="preserve">Table panel keeps a fixed tall height, leaving blank space</t>
  </si>
  <si>
    <t xml:space="preserve">The table area is always as tall as 0.8 times its width, even for a small table. On a phone this wastes about 100 to 150 px and pushes the player controls down (worst with a small or square table).</t>
  </si>
  <si>
    <t xml:space="preserve">screenshots/usa-square-table.png. Seen in a mirror render (real Board.svelte CSS + real def.ts, not the compiled app); confirm in the live app.</t>
  </si>
  <si>
    <t xml:space="preserve">The table drawing is now only as tall as its seats and labels need, so empty seats at the top or bottom leave no blank band. Checked in the mirror render (real CSS and logic, not the compiled app); recheck in the live app.</t>
  </si>
  <si>
    <t xml:space="preserve">Ticket to Ride boards: bug log summary</t>
  </si>
  <si>
    <t xml:space="preserve">By status</t>
  </si>
  <si>
    <t xml:space="preserve">USA only</t>
  </si>
  <si>
    <t xml:space="preserve">All</t>
  </si>
  <si>
    <t xml:space="preserve">Open</t>
  </si>
  <si>
    <t xml:space="preserve">Won't fix</t>
  </si>
  <si>
    <t xml:space="preserve">Total</t>
  </si>
  <si>
    <t xml:space="preserve">Still open by severity</t>
  </si>
  <si>
    <t xml:space="preserve">Count</t>
  </si>
  <si>
    <t xml:space="preserve">How to use this log</t>
  </si>
  <si>
    <t xml:space="preserve">Add each new issue as a new row at the bottom of the Bug Log tab. Use the next ID (BUG-014, BUG-015...).</t>
  </si>
  <si>
    <t xml:space="preserve">Edit only the Bug Log tab. The counts on this tab update by themselves (rows up to 200 are counted).</t>
  </si>
  <si>
    <t xml:space="preserve">Status: Open, In progress, Fixed, Needs testing (cannot be confirmed here), Won't fix. Pick from the dropdown.</t>
  </si>
  <si>
    <t xml:space="preserve">When something is fixed, set Status to Fixed and write the version or date in "Fixed in".</t>
  </si>
  <si>
    <t xml:space="preserve">Type: Bug = confirmed by a probe or by reading the code. Risk = could happen, not reproduced. Unverified = cannot be tested without the real app. Visual = a layout or appearance problem seen in a screenshot.</t>
  </si>
  <si>
    <t xml:space="preserve">Severity: High = could ruin a game result. Medium = wrong or confusing for the GM. Low = cosmetic or rare edge case.</t>
  </si>
  <si>
    <t xml:space="preserve">Rows BUG-001 to BUG-013 were found on 2026-10-28 by reading the code and running probe scripts, not in the live app.</t>
  </si>
  <si>
    <t xml:space="preserve">Rows BUG-014 to BUG-020 (Visual) were found on 2026-10-28 from screenshots of a mirror render (real CSS and logic, not the compiled app). Screenshots are in the screenshots folder.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</si>
</sst>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3"/>
      <name val="Arial"/>
      <family val="0"/>
      <charset val="1"/>
    </font>
    <font>
      <b val="true"/>
      <sz val="10"/>
      <color rgb="FF000000"/>
      <name val="Arial"/>
      <family val="0"/>
      <charset val="1"/>
    </font>
    <font>
      <sz val="10"/>
      <color rgb="FF000000"/>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30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C6E0B4"/>
          <bgColor rgb="FF000000"/>
        </patternFill>
      </fill>
    </dxf>
    <dxf>
      <fill>
        <patternFill patternType="solid">
          <fgColor rgb="FFDDEBF7"/>
          <bgColor rgb="FF000000"/>
        </patternFill>
      </fill>
    </dxf>
    <dxf>
      <fill>
        <patternFill>
          <bgColor rgb="FFF8CBAD"/>
        </patternFill>
      </fill>
    </dxf>
    <dxf>
      <fill>
        <patternFill>
          <bgColor rgb="FFFFE699"/>
        </patternFill>
      </fill>
    </dxf>
    <dxf>
      <fill>
        <patternFill>
          <bgColor rgb="FFE2EFDA"/>
        </patternFill>
      </fill>
    </dxf>
    <dxf>
      <fill>
        <patternFill>
          <bgColor rgb="FFC6E0B4"/>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0"/>
    <col collapsed="false" customWidth="true" hidden="false" outlineLevel="0" max="4" min="4" style="1" width="12"/>
    <col collapsed="false" customWidth="true" hidden="false" outlineLevel="0" max="5" min="5" style="1" width="16"/>
    <col collapsed="false" customWidth="true" hidden="false" outlineLevel="0" max="6" min="6" style="1" width="38"/>
    <col collapsed="false" customWidth="true" hidden="false" outlineLevel="0" max="7" min="7" style="1" width="60"/>
    <col collapsed="false" customWidth="true" hidden="false" outlineLevel="0" max="8" min="8" style="1" width="48"/>
    <col collapsed="false" customWidth="true" hidden="false" outlineLevel="0" max="9" min="9" style="1" width="12"/>
    <col collapsed="false" customWidth="true" hidden="false" outlineLevel="0" max="11" min="10" style="1" width="14"/>
    <col collapsed="false" customWidth="true" hidden="false" outlineLevel="0" max="12" min="12" style="1" width="28"/>
  </cols>
  <sheetData>
    <row r="1" customFormat="false" ht="25.5"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45.75" hidden="false" customHeight="true" outlineLevel="0" collapsed="false">
      <c r="A2" s="3" t="s">
        <v>12</v>
      </c>
      <c r="B2" s="3" t="s">
        <v>13</v>
      </c>
      <c r="C2" s="3" t="s">
        <v>14</v>
      </c>
      <c r="D2" s="3" t="s">
        <v>15</v>
      </c>
      <c r="E2" s="3" t="s">
        <v>16</v>
      </c>
      <c r="F2" s="3" t="s">
        <v>17</v>
      </c>
      <c r="G2" s="3" t="s">
        <v>18</v>
      </c>
      <c r="H2" s="3" t="s">
        <v>19</v>
      </c>
      <c r="I2" s="3" t="s">
        <v>20</v>
      </c>
      <c r="J2" s="3" t="s">
        <v>21</v>
      </c>
      <c r="K2" s="3" t="s">
        <v>22</v>
      </c>
      <c r="L2" s="3" t="s">
        <v>23</v>
      </c>
    </row>
    <row r="3" customFormat="false" ht="45.75" hidden="false" customHeight="true" outlineLevel="0" collapsed="false">
      <c r="A3" s="3" t="s">
        <v>24</v>
      </c>
      <c r="B3" s="3" t="s">
        <v>13</v>
      </c>
      <c r="C3" s="3" t="s">
        <v>25</v>
      </c>
      <c r="D3" s="3" t="s">
        <v>15</v>
      </c>
      <c r="E3" s="3" t="s">
        <v>26</v>
      </c>
      <c r="F3" s="3" t="s">
        <v>27</v>
      </c>
      <c r="G3" s="3" t="s">
        <v>28</v>
      </c>
      <c r="H3" s="3" t="s">
        <v>29</v>
      </c>
      <c r="I3" s="3" t="s">
        <v>20</v>
      </c>
      <c r="J3" s="3" t="s">
        <v>21</v>
      </c>
      <c r="K3" s="3" t="s">
        <v>22</v>
      </c>
      <c r="L3" s="3" t="s">
        <v>30</v>
      </c>
    </row>
    <row r="4" customFormat="false" ht="23.25" hidden="false" customHeight="true" outlineLevel="0" collapsed="false">
      <c r="A4" s="3" t="s">
        <v>31</v>
      </c>
      <c r="B4" s="3" t="s">
        <v>13</v>
      </c>
      <c r="C4" s="3" t="s">
        <v>32</v>
      </c>
      <c r="D4" s="3" t="s">
        <v>15</v>
      </c>
      <c r="E4" s="3" t="s">
        <v>33</v>
      </c>
      <c r="F4" s="3" t="s">
        <v>34</v>
      </c>
      <c r="G4" s="3" t="s">
        <v>35</v>
      </c>
      <c r="H4" s="3" t="s">
        <v>36</v>
      </c>
      <c r="I4" s="3" t="s">
        <v>20</v>
      </c>
      <c r="J4" s="3" t="s">
        <v>21</v>
      </c>
      <c r="K4" s="3" t="s">
        <v>22</v>
      </c>
      <c r="L4" s="3" t="s">
        <v>37</v>
      </c>
    </row>
    <row r="5" customFormat="false" ht="45.75" hidden="false" customHeight="true" outlineLevel="0" collapsed="false">
      <c r="A5" s="3" t="s">
        <v>38</v>
      </c>
      <c r="B5" s="3" t="s">
        <v>13</v>
      </c>
      <c r="C5" s="3" t="s">
        <v>14</v>
      </c>
      <c r="D5" s="3" t="s">
        <v>15</v>
      </c>
      <c r="E5" s="3" t="s">
        <v>33</v>
      </c>
      <c r="F5" s="3" t="s">
        <v>39</v>
      </c>
      <c r="G5" s="3" t="s">
        <v>40</v>
      </c>
      <c r="H5" s="3" t="s">
        <v>41</v>
      </c>
      <c r="I5" s="3" t="s">
        <v>20</v>
      </c>
      <c r="J5" s="3" t="s">
        <v>42</v>
      </c>
      <c r="K5" s="3"/>
      <c r="L5" s="3" t="s">
        <v>43</v>
      </c>
    </row>
    <row r="6" customFormat="false" ht="23.25" hidden="false" customHeight="true" outlineLevel="0" collapsed="false">
      <c r="A6" s="3" t="s">
        <v>44</v>
      </c>
      <c r="B6" s="3" t="s">
        <v>13</v>
      </c>
      <c r="C6" s="3" t="s">
        <v>32</v>
      </c>
      <c r="D6" s="3" t="s">
        <v>15</v>
      </c>
      <c r="E6" s="3" t="s">
        <v>45</v>
      </c>
      <c r="F6" s="3" t="s">
        <v>46</v>
      </c>
      <c r="G6" s="3" t="s">
        <v>47</v>
      </c>
      <c r="H6" s="3" t="s">
        <v>48</v>
      </c>
      <c r="I6" s="3" t="s">
        <v>20</v>
      </c>
      <c r="J6" s="3" t="s">
        <v>21</v>
      </c>
      <c r="K6" s="3" t="s">
        <v>22</v>
      </c>
      <c r="L6" s="3" t="s">
        <v>49</v>
      </c>
    </row>
    <row r="7" customFormat="false" ht="23.25" hidden="false" customHeight="true" outlineLevel="0" collapsed="false">
      <c r="A7" s="3" t="s">
        <v>50</v>
      </c>
      <c r="B7" s="3" t="s">
        <v>51</v>
      </c>
      <c r="C7" s="3" t="s">
        <v>32</v>
      </c>
      <c r="D7" s="3" t="s">
        <v>15</v>
      </c>
      <c r="E7" s="3" t="s">
        <v>52</v>
      </c>
      <c r="F7" s="3" t="s">
        <v>53</v>
      </c>
      <c r="G7" s="3" t="s">
        <v>54</v>
      </c>
      <c r="H7" s="3" t="s">
        <v>55</v>
      </c>
      <c r="I7" s="3" t="s">
        <v>20</v>
      </c>
      <c r="J7" s="3" t="s">
        <v>21</v>
      </c>
      <c r="K7" s="3" t="s">
        <v>56</v>
      </c>
      <c r="L7" s="3" t="s">
        <v>57</v>
      </c>
    </row>
    <row r="8" customFormat="false" ht="23.25" hidden="false" customHeight="true" outlineLevel="0" collapsed="false">
      <c r="A8" s="3" t="s">
        <v>58</v>
      </c>
      <c r="B8" s="3" t="s">
        <v>51</v>
      </c>
      <c r="C8" s="3" t="s">
        <v>32</v>
      </c>
      <c r="D8" s="3" t="s">
        <v>15</v>
      </c>
      <c r="E8" s="3" t="s">
        <v>59</v>
      </c>
      <c r="F8" s="3" t="s">
        <v>60</v>
      </c>
      <c r="G8" s="3" t="s">
        <v>61</v>
      </c>
      <c r="H8" s="3" t="s">
        <v>62</v>
      </c>
      <c r="I8" s="3" t="s">
        <v>20</v>
      </c>
      <c r="J8" s="3" t="s">
        <v>21</v>
      </c>
      <c r="K8" s="3" t="s">
        <v>56</v>
      </c>
      <c r="L8" s="3" t="s">
        <v>63</v>
      </c>
    </row>
    <row r="9" customFormat="false" ht="45.75" hidden="false" customHeight="true" outlineLevel="0" collapsed="false">
      <c r="A9" s="3" t="s">
        <v>64</v>
      </c>
      <c r="B9" s="3" t="s">
        <v>13</v>
      </c>
      <c r="C9" s="3" t="s">
        <v>14</v>
      </c>
      <c r="D9" s="3" t="s">
        <v>65</v>
      </c>
      <c r="E9" s="3" t="s">
        <v>33</v>
      </c>
      <c r="F9" s="3" t="s">
        <v>66</v>
      </c>
      <c r="G9" s="3" t="s">
        <v>67</v>
      </c>
      <c r="H9" s="3" t="s">
        <v>68</v>
      </c>
      <c r="I9" s="3" t="s">
        <v>20</v>
      </c>
      <c r="J9" s="3" t="s">
        <v>21</v>
      </c>
      <c r="K9" s="3" t="s">
        <v>56</v>
      </c>
      <c r="L9" s="3" t="s">
        <v>69</v>
      </c>
    </row>
    <row r="10" customFormat="false" ht="23.25" hidden="false" customHeight="true" outlineLevel="0" collapsed="false">
      <c r="A10" s="3" t="s">
        <v>70</v>
      </c>
      <c r="B10" s="3" t="s">
        <v>13</v>
      </c>
      <c r="C10" s="3" t="s">
        <v>32</v>
      </c>
      <c r="D10" s="3" t="s">
        <v>15</v>
      </c>
      <c r="E10" s="3" t="s">
        <v>71</v>
      </c>
      <c r="F10" s="3" t="s">
        <v>72</v>
      </c>
      <c r="G10" s="3" t="s">
        <v>73</v>
      </c>
      <c r="H10" s="3" t="s">
        <v>74</v>
      </c>
      <c r="I10" s="3" t="s">
        <v>20</v>
      </c>
      <c r="J10" s="3" t="s">
        <v>21</v>
      </c>
      <c r="K10" s="3" t="s">
        <v>56</v>
      </c>
      <c r="L10" s="3" t="s">
        <v>75</v>
      </c>
    </row>
    <row r="11" customFormat="false" ht="23.25" hidden="false" customHeight="true" outlineLevel="0" collapsed="false">
      <c r="A11" s="3" t="s">
        <v>76</v>
      </c>
      <c r="B11" s="3" t="s">
        <v>13</v>
      </c>
      <c r="C11" s="3" t="s">
        <v>32</v>
      </c>
      <c r="D11" s="3" t="s">
        <v>15</v>
      </c>
      <c r="E11" s="3" t="s">
        <v>33</v>
      </c>
      <c r="F11" s="3" t="s">
        <v>77</v>
      </c>
      <c r="G11" s="3" t="s">
        <v>78</v>
      </c>
      <c r="H11" s="3" t="s">
        <v>79</v>
      </c>
      <c r="I11" s="3" t="s">
        <v>20</v>
      </c>
      <c r="J11" s="3" t="s">
        <v>21</v>
      </c>
      <c r="K11" s="3" t="s">
        <v>56</v>
      </c>
      <c r="L11" s="3" t="s">
        <v>80</v>
      </c>
    </row>
    <row r="12" customFormat="false" ht="23.25" hidden="false" customHeight="true" outlineLevel="0" collapsed="false">
      <c r="A12" s="3" t="s">
        <v>81</v>
      </c>
      <c r="B12" s="3" t="s">
        <v>13</v>
      </c>
      <c r="C12" s="3" t="s">
        <v>32</v>
      </c>
      <c r="D12" s="3" t="s">
        <v>15</v>
      </c>
      <c r="E12" s="3" t="s">
        <v>59</v>
      </c>
      <c r="F12" s="3" t="s">
        <v>82</v>
      </c>
      <c r="G12" s="3" t="s">
        <v>83</v>
      </c>
      <c r="H12" s="3" t="s">
        <v>84</v>
      </c>
      <c r="I12" s="3" t="s">
        <v>20</v>
      </c>
      <c r="J12" s="3" t="s">
        <v>21</v>
      </c>
      <c r="K12" s="3" t="s">
        <v>85</v>
      </c>
      <c r="L12" s="3" t="s">
        <v>86</v>
      </c>
    </row>
    <row r="13" customFormat="false" ht="23.25" hidden="false" customHeight="true" outlineLevel="0" collapsed="false">
      <c r="A13" s="3" t="s">
        <v>87</v>
      </c>
      <c r="B13" s="3" t="s">
        <v>13</v>
      </c>
      <c r="C13" s="3" t="s">
        <v>14</v>
      </c>
      <c r="D13" s="3" t="s">
        <v>88</v>
      </c>
      <c r="E13" s="3" t="s">
        <v>89</v>
      </c>
      <c r="F13" s="3" t="s">
        <v>90</v>
      </c>
      <c r="G13" s="3" t="s">
        <v>91</v>
      </c>
      <c r="H13" s="3" t="s">
        <v>92</v>
      </c>
      <c r="I13" s="3" t="s">
        <v>20</v>
      </c>
      <c r="J13" s="3" t="s">
        <v>93</v>
      </c>
      <c r="K13" s="3"/>
      <c r="L13" s="3" t="s">
        <v>94</v>
      </c>
    </row>
    <row r="14" customFormat="false" ht="34.5" hidden="false" customHeight="true" outlineLevel="0" collapsed="false">
      <c r="A14" s="3" t="s">
        <v>95</v>
      </c>
      <c r="B14" s="3" t="s">
        <v>13</v>
      </c>
      <c r="C14" s="3" t="s">
        <v>14</v>
      </c>
      <c r="D14" s="3" t="s">
        <v>88</v>
      </c>
      <c r="E14" s="3" t="s">
        <v>96</v>
      </c>
      <c r="F14" s="3" t="s">
        <v>97</v>
      </c>
      <c r="G14" s="3" t="s">
        <v>98</v>
      </c>
      <c r="H14" s="3" t="s">
        <v>99</v>
      </c>
      <c r="I14" s="3" t="s">
        <v>20</v>
      </c>
      <c r="J14" s="3" t="s">
        <v>93</v>
      </c>
      <c r="K14" s="3"/>
      <c r="L14" s="3" t="s">
        <v>100</v>
      </c>
    </row>
    <row r="15" customFormat="false" ht="45.75" hidden="false" customHeight="true" outlineLevel="0" collapsed="false">
      <c r="A15" s="3" t="s">
        <v>101</v>
      </c>
      <c r="B15" s="3" t="s">
        <v>13</v>
      </c>
      <c r="C15" s="3" t="s">
        <v>14</v>
      </c>
      <c r="D15" s="3" t="s">
        <v>102</v>
      </c>
      <c r="E15" s="3" t="s">
        <v>71</v>
      </c>
      <c r="F15" s="3" t="s">
        <v>103</v>
      </c>
      <c r="G15" s="3" t="s">
        <v>104</v>
      </c>
      <c r="H15" s="3" t="s">
        <v>105</v>
      </c>
      <c r="I15" s="3" t="s">
        <v>20</v>
      </c>
      <c r="J15" s="3" t="s">
        <v>21</v>
      </c>
      <c r="K15" s="3" t="s">
        <v>85</v>
      </c>
      <c r="L15" s="3" t="s">
        <v>106</v>
      </c>
    </row>
    <row r="16" customFormat="false" ht="45.75" hidden="false" customHeight="true" outlineLevel="0" collapsed="false">
      <c r="A16" s="3" t="s">
        <v>107</v>
      </c>
      <c r="B16" s="3" t="s">
        <v>13</v>
      </c>
      <c r="C16" s="3" t="s">
        <v>14</v>
      </c>
      <c r="D16" s="3" t="s">
        <v>102</v>
      </c>
      <c r="E16" s="3" t="s">
        <v>108</v>
      </c>
      <c r="F16" s="3" t="s">
        <v>109</v>
      </c>
      <c r="G16" s="3" t="s">
        <v>110</v>
      </c>
      <c r="H16" s="3" t="s">
        <v>111</v>
      </c>
      <c r="I16" s="3" t="s">
        <v>20</v>
      </c>
      <c r="J16" s="3" t="s">
        <v>21</v>
      </c>
      <c r="K16" s="3" t="s">
        <v>85</v>
      </c>
      <c r="L16" s="3" t="s">
        <v>112</v>
      </c>
    </row>
    <row r="17" customFormat="false" ht="34.5" hidden="false" customHeight="true" outlineLevel="0" collapsed="false">
      <c r="A17" s="3" t="s">
        <v>113</v>
      </c>
      <c r="B17" s="3" t="s">
        <v>13</v>
      </c>
      <c r="C17" s="3" t="s">
        <v>32</v>
      </c>
      <c r="D17" s="3" t="s">
        <v>102</v>
      </c>
      <c r="E17" s="3" t="s">
        <v>114</v>
      </c>
      <c r="F17" s="3" t="s">
        <v>115</v>
      </c>
      <c r="G17" s="3" t="s">
        <v>116</v>
      </c>
      <c r="H17" s="3" t="s">
        <v>117</v>
      </c>
      <c r="I17" s="3" t="s">
        <v>20</v>
      </c>
      <c r="J17" s="3" t="s">
        <v>21</v>
      </c>
      <c r="K17" s="3" t="s">
        <v>85</v>
      </c>
      <c r="L17" s="3" t="s">
        <v>118</v>
      </c>
    </row>
    <row r="18" customFormat="false" ht="45.75" hidden="false" customHeight="true" outlineLevel="0" collapsed="false">
      <c r="A18" s="3" t="s">
        <v>119</v>
      </c>
      <c r="B18" s="3" t="s">
        <v>13</v>
      </c>
      <c r="C18" s="3" t="s">
        <v>14</v>
      </c>
      <c r="D18" s="3" t="s">
        <v>102</v>
      </c>
      <c r="E18" s="3" t="s">
        <v>120</v>
      </c>
      <c r="F18" s="3" t="s">
        <v>121</v>
      </c>
      <c r="G18" s="3" t="s">
        <v>122</v>
      </c>
      <c r="H18" s="3" t="s">
        <v>123</v>
      </c>
      <c r="I18" s="3" t="s">
        <v>20</v>
      </c>
      <c r="J18" s="3" t="s">
        <v>21</v>
      </c>
      <c r="K18" s="3" t="s">
        <v>85</v>
      </c>
      <c r="L18" s="3" t="s">
        <v>124</v>
      </c>
    </row>
    <row r="19" customFormat="false" ht="34.5" hidden="false" customHeight="true" outlineLevel="0" collapsed="false">
      <c r="A19" s="3" t="s">
        <v>125</v>
      </c>
      <c r="B19" s="3" t="s">
        <v>13</v>
      </c>
      <c r="C19" s="3" t="s">
        <v>32</v>
      </c>
      <c r="D19" s="3" t="s">
        <v>102</v>
      </c>
      <c r="E19" s="3" t="s">
        <v>126</v>
      </c>
      <c r="F19" s="3" t="s">
        <v>127</v>
      </c>
      <c r="G19" s="3" t="s">
        <v>128</v>
      </c>
      <c r="H19" s="3" t="s">
        <v>129</v>
      </c>
      <c r="I19" s="3" t="s">
        <v>20</v>
      </c>
      <c r="J19" s="3" t="s">
        <v>21</v>
      </c>
      <c r="K19" s="3" t="s">
        <v>85</v>
      </c>
      <c r="L19" s="3" t="s">
        <v>130</v>
      </c>
    </row>
    <row r="20" customFormat="false" ht="45.75" hidden="false" customHeight="true" outlineLevel="0" collapsed="false">
      <c r="A20" s="3" t="s">
        <v>131</v>
      </c>
      <c r="B20" s="3" t="s">
        <v>13</v>
      </c>
      <c r="C20" s="3" t="s">
        <v>32</v>
      </c>
      <c r="D20" s="3" t="s">
        <v>102</v>
      </c>
      <c r="E20" s="3" t="s">
        <v>132</v>
      </c>
      <c r="F20" s="3" t="s">
        <v>133</v>
      </c>
      <c r="G20" s="3" t="s">
        <v>134</v>
      </c>
      <c r="H20" s="3" t="s">
        <v>135</v>
      </c>
      <c r="I20" s="3" t="s">
        <v>20</v>
      </c>
      <c r="J20" s="3" t="s">
        <v>21</v>
      </c>
      <c r="K20" s="3" t="s">
        <v>85</v>
      </c>
      <c r="L20" s="3" t="s">
        <v>136</v>
      </c>
    </row>
    <row r="21" customFormat="false" ht="34.5" hidden="false" customHeight="true" outlineLevel="0" collapsed="false">
      <c r="A21" s="3" t="s">
        <v>137</v>
      </c>
      <c r="B21" s="3" t="s">
        <v>13</v>
      </c>
      <c r="C21" s="3" t="s">
        <v>32</v>
      </c>
      <c r="D21" s="3" t="s">
        <v>102</v>
      </c>
      <c r="E21" s="3" t="s">
        <v>132</v>
      </c>
      <c r="F21" s="3" t="s">
        <v>138</v>
      </c>
      <c r="G21" s="3" t="s">
        <v>139</v>
      </c>
      <c r="H21" s="3" t="s">
        <v>140</v>
      </c>
      <c r="I21" s="3" t="s">
        <v>20</v>
      </c>
      <c r="J21" s="3" t="s">
        <v>21</v>
      </c>
      <c r="K21" s="3" t="s">
        <v>85</v>
      </c>
      <c r="L21" s="3" t="s">
        <v>141</v>
      </c>
    </row>
  </sheetData>
  <autoFilter ref="A1:L200"/>
  <conditionalFormatting sqref="C2:C200">
    <cfRule type="cellIs" priority="2" operator="equal" aboveAverage="0" equalAverage="0" bottom="0" percent="0" rank="0" text="" dxfId="9">
      <formula>"High"</formula>
    </cfRule>
    <cfRule type="cellIs" priority="3" operator="equal" aboveAverage="0" equalAverage="0" bottom="0" percent="0" rank="0" text="" dxfId="10">
      <formula>"Medium"</formula>
    </cfRule>
    <cfRule type="cellIs" priority="4" operator="equal" aboveAverage="0" equalAverage="0" bottom="0" percent="0" rank="0" text="" dxfId="11">
      <formula>"Low"</formula>
    </cfRule>
  </conditionalFormatting>
  <conditionalFormatting sqref="J2:J200">
    <cfRule type="cellIs" priority="5" operator="equal" aboveAverage="0" equalAverage="0" bottom="0" percent="0" rank="0" text="" dxfId="12">
      <formula>"Fixed"</formula>
    </cfRule>
    <cfRule type="cellIs" priority="6" operator="equal" aboveAverage="0" equalAverage="0" bottom="0" percent="0" rank="0" text="" dxfId="13">
      <formula>"In progress"</formula>
    </cfRule>
  </conditionalFormatting>
  <dataValidations count="4">
    <dataValidation allowBlank="true" errorStyle="stop" operator="between" showDropDown="false" showErrorMessage="false" showInputMessage="false" sqref="B2:B200" type="list">
      <formula1>"USA + Europe,USA only,Europe only"</formula1>
      <formula2>0</formula2>
    </dataValidation>
    <dataValidation allowBlank="true" errorStyle="stop" operator="between" showDropDown="false" showErrorMessage="false" showInputMessage="false" sqref="C2:C200" type="list">
      <formula1>"High,Medium,Low"</formula1>
      <formula2>0</formula2>
    </dataValidation>
    <dataValidation allowBlank="true" errorStyle="stop" operator="between" showDropDown="false" showErrorMessage="false" showInputMessage="false" sqref="D2:D200" type="list">
      <formula1>"Bug,Risk,Unverified,Visual"</formula1>
      <formula2>0</formula2>
    </dataValidation>
    <dataValidation allowBlank="true" errorStyle="stop" operator="between" showDropDown="false" showErrorMessage="false" showInputMessage="false" sqref="J2:J200" type="list">
      <formula1>"Open,In progress,Fixed,Needs testing,Won't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5" min="2" style="1" width="16"/>
  </cols>
  <sheetData>
    <row r="1" customFormat="false" ht="15.75" hidden="false" customHeight="true" outlineLevel="0" collapsed="false">
      <c r="A1" s="4" t="s">
        <v>142</v>
      </c>
    </row>
    <row r="3" customFormat="false" ht="15" hidden="false" customHeight="true" outlineLevel="0" collapsed="false">
      <c r="A3" s="5" t="s">
        <v>143</v>
      </c>
      <c r="B3" s="5" t="s">
        <v>13</v>
      </c>
      <c r="C3" s="5" t="s">
        <v>51</v>
      </c>
      <c r="D3" s="5" t="s">
        <v>144</v>
      </c>
      <c r="E3" s="5" t="s">
        <v>145</v>
      </c>
    </row>
    <row r="4" customFormat="false" ht="15" hidden="false" customHeight="true" outlineLevel="0" collapsed="false">
      <c r="A4" s="6" t="s">
        <v>146</v>
      </c>
      <c r="B4" s="6" t="n">
        <f aca="false">COUNTIFS('Bug Log'!$J$2:$J$200,$A4,'Bug Log'!$B$2:$B$200,B$3)</f>
        <v>0</v>
      </c>
      <c r="C4" s="6" t="n">
        <f aca="false">COUNTIFS('Bug Log'!$J$2:$J$200,$A4,'Bug Log'!$B$2:$B$200,C$3)</f>
        <v>0</v>
      </c>
      <c r="D4" s="6" t="n">
        <f aca="false">COUNTIFS('Bug Log'!$J$2:$J$200,$A4,'Bug Log'!$B$2:$B$200,D$3)</f>
        <v>0</v>
      </c>
      <c r="E4" s="6" t="n">
        <f aca="false">SUM(B4:D4)</f>
        <v>0</v>
      </c>
    </row>
    <row r="5" customFormat="false" ht="15" hidden="false" customHeight="true" outlineLevel="0" collapsed="false">
      <c r="A5" s="6" t="s">
        <v>42</v>
      </c>
      <c r="B5" s="6" t="n">
        <f aca="false">COUNTIFS('Bug Log'!$J$2:$J$200,$A5,'Bug Log'!$B$2:$B$200,B$3)</f>
        <v>1</v>
      </c>
      <c r="C5" s="6" t="n">
        <f aca="false">COUNTIFS('Bug Log'!$J$2:$J$200,$A5,'Bug Log'!$B$2:$B$200,C$3)</f>
        <v>0</v>
      </c>
      <c r="D5" s="6" t="n">
        <f aca="false">COUNTIFS('Bug Log'!$J$2:$J$200,$A5,'Bug Log'!$B$2:$B$200,D$3)</f>
        <v>0</v>
      </c>
      <c r="E5" s="6" t="n">
        <f aca="false">SUM(B5:D5)</f>
        <v>1</v>
      </c>
    </row>
    <row r="6" customFormat="false" ht="15" hidden="false" customHeight="true" outlineLevel="0" collapsed="false">
      <c r="A6" s="6" t="s">
        <v>93</v>
      </c>
      <c r="B6" s="6" t="n">
        <f aca="false">COUNTIFS('Bug Log'!$J$2:$J$200,$A6,'Bug Log'!$B$2:$B$200,B$3)</f>
        <v>2</v>
      </c>
      <c r="C6" s="6" t="n">
        <f aca="false">COUNTIFS('Bug Log'!$J$2:$J$200,$A6,'Bug Log'!$B$2:$B$200,C$3)</f>
        <v>0</v>
      </c>
      <c r="D6" s="6" t="n">
        <f aca="false">COUNTIFS('Bug Log'!$J$2:$J$200,$A6,'Bug Log'!$B$2:$B$200,D$3)</f>
        <v>0</v>
      </c>
      <c r="E6" s="6" t="n">
        <f aca="false">SUM(B6:D6)</f>
        <v>2</v>
      </c>
    </row>
    <row r="7" customFormat="false" ht="15" hidden="false" customHeight="true" outlineLevel="0" collapsed="false">
      <c r="A7" s="6" t="s">
        <v>21</v>
      </c>
      <c r="B7" s="6" t="n">
        <f aca="false">COUNTIFS('Bug Log'!$J$2:$J$200,$A7,'Bug Log'!$B$2:$B$200,B$3)</f>
        <v>15</v>
      </c>
      <c r="C7" s="6" t="n">
        <f aca="false">COUNTIFS('Bug Log'!$J$2:$J$200,$A7,'Bug Log'!$B$2:$B$200,C$3)</f>
        <v>2</v>
      </c>
      <c r="D7" s="6" t="n">
        <f aca="false">COUNTIFS('Bug Log'!$J$2:$J$200,$A7,'Bug Log'!$B$2:$B$200,D$3)</f>
        <v>0</v>
      </c>
      <c r="E7" s="6" t="n">
        <f aca="false">SUM(B7:D7)</f>
        <v>17</v>
      </c>
    </row>
    <row r="8" customFormat="false" ht="15" hidden="false" customHeight="true" outlineLevel="0" collapsed="false">
      <c r="A8" s="6" t="s">
        <v>147</v>
      </c>
      <c r="B8" s="6" t="n">
        <f aca="false">COUNTIFS('Bug Log'!$J$2:$J$200,$A8,'Bug Log'!$B$2:$B$200,B$3)</f>
        <v>0</v>
      </c>
      <c r="C8" s="6" t="n">
        <f aca="false">COUNTIFS('Bug Log'!$J$2:$J$200,$A8,'Bug Log'!$B$2:$B$200,C$3)</f>
        <v>0</v>
      </c>
      <c r="D8" s="6" t="n">
        <f aca="false">COUNTIFS('Bug Log'!$J$2:$J$200,$A8,'Bug Log'!$B$2:$B$200,D$3)</f>
        <v>0</v>
      </c>
      <c r="E8" s="6" t="n">
        <f aca="false">SUM(B8:D8)</f>
        <v>0</v>
      </c>
    </row>
    <row r="9" customFormat="false" ht="15" hidden="false" customHeight="true" outlineLevel="0" collapsed="false">
      <c r="A9" s="5" t="s">
        <v>148</v>
      </c>
      <c r="B9" s="5" t="n">
        <f aca="false">SUM(B4:B8)</f>
        <v>18</v>
      </c>
      <c r="C9" s="5" t="n">
        <f aca="false">SUM(C4:C8)</f>
        <v>2</v>
      </c>
      <c r="D9" s="5" t="n">
        <f aca="false">SUM(D4:D8)</f>
        <v>0</v>
      </c>
      <c r="E9" s="5" t="n">
        <f aca="false">SUM(E4:E8)</f>
        <v>20</v>
      </c>
    </row>
    <row r="11" customFormat="false" ht="15" hidden="false" customHeight="true" outlineLevel="0" collapsed="false">
      <c r="A11" s="5" t="s">
        <v>149</v>
      </c>
      <c r="B11" s="5" t="s">
        <v>150</v>
      </c>
    </row>
    <row r="12" customFormat="false" ht="15" hidden="false" customHeight="true" outlineLevel="0" collapsed="false">
      <c r="A12" s="6" t="s">
        <v>25</v>
      </c>
      <c r="B12" s="6" t="n">
        <f aca="false">COUNTIFS('Bug Log'!$C$2:$C$200,$A12,'Bug Log'!$J$2:$J$200,"Open")+COUNTIFS('Bug Log'!$C$2:$C$200,$A12,'Bug Log'!$J$2:$J$200,"In progress")+COUNTIFS('Bug Log'!$C$2:$C$200,$A12,'Bug Log'!$J$2:$J$200,"Needs testing")</f>
        <v>0</v>
      </c>
    </row>
    <row r="13" customFormat="false" ht="15" hidden="false" customHeight="true" outlineLevel="0" collapsed="false">
      <c r="A13" s="6" t="s">
        <v>14</v>
      </c>
      <c r="B13" s="6" t="n">
        <f aca="false">COUNTIFS('Bug Log'!$C$2:$C$200,$A13,'Bug Log'!$J$2:$J$200,"Open")+COUNTIFS('Bug Log'!$C$2:$C$200,$A13,'Bug Log'!$J$2:$J$200,"In progress")+COUNTIFS('Bug Log'!$C$2:$C$200,$A13,'Bug Log'!$J$2:$J$200,"Needs testing")</f>
        <v>3</v>
      </c>
    </row>
    <row r="14" customFormat="false" ht="15" hidden="false" customHeight="true" outlineLevel="0" collapsed="false">
      <c r="A14" s="6" t="s">
        <v>32</v>
      </c>
      <c r="B14" s="6" t="n">
        <f aca="false">COUNTIFS('Bug Log'!$C$2:$C$200,$A14,'Bug Log'!$J$2:$J$200,"Open")+COUNTIFS('Bug Log'!$C$2:$C$200,$A14,'Bug Log'!$J$2:$J$200,"In progress")+COUNTIFS('Bug Log'!$C$2:$C$200,$A14,'Bug Log'!$J$2:$J$200,"Needs testing")</f>
        <v>0</v>
      </c>
    </row>
    <row r="16" customFormat="false" ht="15" hidden="false" customHeight="true" outlineLevel="0" collapsed="false">
      <c r="A16" s="5" t="s">
        <v>151</v>
      </c>
    </row>
    <row r="17" customFormat="false" ht="15" hidden="false" customHeight="true" outlineLevel="0" collapsed="false">
      <c r="A17" s="6" t="s">
        <v>152</v>
      </c>
    </row>
    <row r="18" customFormat="false" ht="15" hidden="false" customHeight="true" outlineLevel="0" collapsed="false">
      <c r="A18" s="6" t="s">
        <v>153</v>
      </c>
    </row>
    <row r="19" customFormat="false" ht="15" hidden="false" customHeight="true" outlineLevel="0" collapsed="false">
      <c r="A19" s="6" t="s">
        <v>154</v>
      </c>
    </row>
    <row r="20" customFormat="false" ht="15" hidden="false" customHeight="true" outlineLevel="0" collapsed="false">
      <c r="A20" s="6" t="s">
        <v>155</v>
      </c>
    </row>
    <row r="21" customFormat="false" ht="15" hidden="false" customHeight="true" outlineLevel="0" collapsed="false">
      <c r="A21" s="6" t="s">
        <v>156</v>
      </c>
    </row>
    <row r="22" customFormat="false" ht="15" hidden="false" customHeight="true" outlineLevel="0" collapsed="false">
      <c r="A22" s="6" t="s">
        <v>157</v>
      </c>
    </row>
    <row r="23" customFormat="false" ht="15" hidden="false" customHeight="true" outlineLevel="0" collapsed="false">
      <c r="A23" s="6" t="s">
        <v>158</v>
      </c>
    </row>
    <row r="24" customFormat="false" ht="15" hidden="false" customHeight="true" outlineLevel="0" collapsed="false">
      <c r="A24" s="7"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2026-10-28T19:01:52Z</dcterms:created>
  <dc:creator>openpyxl</dc:creator>
  <dc:description/>
  <dc:language>en-US</dc:language>
  <cp:lastModifiedBy/>
  <dcterms:modified xsi:type="dcterms:W3CDTF">2026-10-29T03:13:06Z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